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riority Summary" sheetId="1" r:id="rId1"/>
    <sheet name="Architecture Ideas" sheetId="2" r:id="rId2"/>
    <sheet name="Data Requirements" sheetId="3" r:id="rId3"/>
    <sheet name="Scor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<sst xmlns="http://schemas.openxmlformats.org/spreadsheetml/2006/main" count="261" uniqueCount="162">
  <si>
    <t>M-VF-ACT 架构创新优先级汇总</t>
  </si>
  <si>
    <t>任务场景：LeRobot SO101 主从臂；目标：半满透明塑料杯力控抓取；约束：16GB 显存训练</t>
  </si>
  <si>
    <t>Priority</t>
  </si>
  <si>
    <t>Layer</t>
  </si>
  <si>
    <t>Architecture Idea</t>
  </si>
  <si>
    <t>Expected Value</t>
  </si>
  <si>
    <t>16GB Feasibility</t>
  </si>
  <si>
    <t>Low Data Cost</t>
  </si>
  <si>
    <t>Low Impl. Difficulty</t>
  </si>
  <si>
    <t>Weighted Score</t>
  </si>
  <si>
    <t>Raw Data Processing?</t>
  </si>
  <si>
    <t>Dataset Annotation?</t>
  </si>
  <si>
    <t>感知层</t>
  </si>
  <si>
    <r>
      <t>Mask-Guided Perception</t>
    </r>
    <r>
      <rPr>
        <sz val="11"/>
        <rFont val="宋体"/>
        <charset val="134"/>
      </rPr>
      <t>（</t>
    </r>
    <r>
      <rPr>
        <sz val="11"/>
        <rFont val="Carlito"/>
        <charset val="134"/>
      </rPr>
      <t xml:space="preserve">SAM / SAM 2 </t>
    </r>
    <r>
      <rPr>
        <sz val="11"/>
        <rFont val="宋体"/>
        <charset val="134"/>
      </rPr>
      <t>掩膜引导）</t>
    </r>
  </si>
  <si>
    <t>是</t>
  </si>
  <si>
    <t>是，但可半自动</t>
  </si>
  <si>
    <t>融合层</t>
  </si>
  <si>
    <r>
      <rPr>
        <sz val="11"/>
        <rFont val="Carlito"/>
        <charset val="134"/>
      </rPr>
      <t>Visual-Force Fusion</t>
    </r>
    <r>
      <rPr>
        <sz val="11"/>
        <rFont val="宋体"/>
        <charset val="134"/>
      </rPr>
      <t>（视觉</t>
    </r>
    <r>
      <rPr>
        <sz val="11"/>
        <rFont val="Carlito"/>
        <charset val="134"/>
      </rPr>
      <t>-</t>
    </r>
    <r>
      <rPr>
        <sz val="11"/>
        <rFont val="宋体"/>
        <charset val="134"/>
      </rPr>
      <t>力感</t>
    </r>
    <r>
      <rPr>
        <sz val="11"/>
        <rFont val="Carlito"/>
        <charset val="134"/>
      </rPr>
      <t xml:space="preserve"> Cross-Attention / Token </t>
    </r>
    <r>
      <rPr>
        <sz val="11"/>
        <rFont val="宋体"/>
        <charset val="134"/>
      </rPr>
      <t>融合）</t>
    </r>
  </si>
  <si>
    <t>否</t>
  </si>
  <si>
    <t>执行层</t>
  </si>
  <si>
    <r>
      <rPr>
        <sz val="11"/>
        <color theme="0" tint="-0.35"/>
        <rFont val="Carlito"/>
        <charset val="134"/>
      </rPr>
      <t>Hybrid Action Head</t>
    </r>
    <r>
      <rPr>
        <sz val="11"/>
        <color theme="0" tint="-0.35"/>
        <rFont val="宋体"/>
        <charset val="134"/>
      </rPr>
      <t>（位姿</t>
    </r>
    <r>
      <rPr>
        <sz val="11"/>
        <color theme="0" tint="-0.35"/>
        <rFont val="Carlito"/>
        <charset val="134"/>
      </rPr>
      <t>-</t>
    </r>
    <r>
      <rPr>
        <sz val="11"/>
        <color theme="0" tint="-0.35"/>
        <rFont val="宋体"/>
        <charset val="134"/>
      </rPr>
      <t>力矩双路</t>
    </r>
    <r>
      <rPr>
        <sz val="11"/>
        <color theme="0" tint="-0.35"/>
        <rFont val="Carlito"/>
        <charset val="134"/>
      </rPr>
      <t xml:space="preserve"> Action Head</t>
    </r>
    <r>
      <rPr>
        <sz val="11"/>
        <color theme="0" tint="-0.35"/>
        <rFont val="宋体"/>
        <charset val="134"/>
      </rPr>
      <t>）（当前数据不符合，后续如果要做的话再针对性采集数据，进行对比实验）</t>
    </r>
  </si>
  <si>
    <t>时序层</t>
  </si>
  <si>
    <t>Spatio-Temporal / Frame Stacking（Video Transformer / TSM 的轻量替代）</t>
  </si>
  <si>
    <t>推荐实施路线</t>
  </si>
  <si>
    <t/>
  </si>
  <si>
    <t>Stage</t>
  </si>
  <si>
    <t>Idea</t>
  </si>
  <si>
    <t>Why</t>
  </si>
  <si>
    <t>Minimum Viable Implementation</t>
  </si>
  <si>
    <t>Data Impact</t>
  </si>
  <si>
    <t>Model Impact</t>
  </si>
  <si>
    <t>Deployment Impact</t>
  </si>
  <si>
    <t>Go/No-Go Metric</t>
  </si>
  <si>
    <t>Risk</t>
  </si>
  <si>
    <t>Next Step</t>
  </si>
  <si>
    <t>Phase 1</t>
  </si>
  <si>
    <t>Mask-Guided Perception</t>
  </si>
  <si>
    <t>最高性价比，先解决透明杯看不清</t>
  </si>
  <si>
    <t>SAM 2 首帧 prompt + 自动传播 + RGB×Mask</t>
  </si>
  <si>
    <r>
      <rPr>
        <sz val="11"/>
        <rFont val="宋体"/>
        <charset val="134"/>
      </rPr>
      <t>新增</t>
    </r>
    <r>
      <rPr>
        <sz val="11"/>
        <rFont val="Carlito"/>
        <charset val="134"/>
      </rPr>
      <t xml:space="preserve"> mask </t>
    </r>
    <r>
      <rPr>
        <sz val="11"/>
        <rFont val="宋体"/>
        <charset val="134"/>
      </rPr>
      <t>文件或预处理图像</t>
    </r>
  </si>
  <si>
    <t>可不改主干</t>
  </si>
  <si>
    <t>无</t>
  </si>
  <si>
    <t>透明杯定位/抓取成功率提升</t>
  </si>
  <si>
    <t>Mask 漂移</t>
  </si>
  <si>
    <t>先做 20~50 个 episode 离线验证</t>
  </si>
  <si>
    <t>Phase 2</t>
  </si>
  <si>
    <t>Visual-Force Fusion</t>
  </si>
  <si>
    <t>补足视觉无法判断接触力的盲区</t>
  </si>
  <si>
    <t>读取 gripper current/load 并拼接 state</t>
  </si>
  <si>
    <t>新增 observation.effort</t>
  </si>
  <si>
    <t>增加 force encoder/token</t>
  </si>
  <si>
    <t>低</t>
  </si>
  <si>
    <t>捏爆率下降、抓滑前有信号</t>
  </si>
  <si>
    <t>电流噪声/延迟</t>
  </si>
  <si>
    <t>先记录并可视化力觉曲线</t>
  </si>
  <si>
    <t>Phase 3</t>
  </si>
  <si>
    <t>Hybrid Action Head</t>
  </si>
  <si>
    <t>让模型主动控制夹爪柔顺性</t>
  </si>
  <si>
    <r>
      <rPr>
        <sz val="11"/>
        <color theme="0" tint="-0.35"/>
        <rFont val="宋体"/>
        <charset val="134"/>
      </rPr>
      <t>预测</t>
    </r>
    <r>
      <rPr>
        <sz val="11"/>
        <color theme="0" tint="-0.35"/>
        <rFont val="Carlito"/>
        <charset val="134"/>
      </rPr>
      <t xml:space="preserve"> gripper_effort_limit</t>
    </r>
  </si>
  <si>
    <r>
      <rPr>
        <sz val="11"/>
        <color theme="0" tint="-0.35"/>
        <rFont val="宋体"/>
        <charset val="134"/>
      </rPr>
      <t>新增</t>
    </r>
    <r>
      <rPr>
        <sz val="11"/>
        <color theme="0" tint="-0.35"/>
        <rFont val="Carlito"/>
        <charset val="134"/>
      </rPr>
      <t xml:space="preserve"> action effort label</t>
    </r>
  </si>
  <si>
    <t>action_dim + loss</t>
  </si>
  <si>
    <r>
      <rPr>
        <sz val="11"/>
        <color theme="0" tint="-0.35"/>
        <rFont val="宋体"/>
        <charset val="134"/>
      </rPr>
      <t>实时写</t>
    </r>
    <r>
      <rPr>
        <sz val="11"/>
        <color theme="0" tint="-0.35"/>
        <rFont val="Carlito"/>
        <charset val="134"/>
      </rPr>
      <t xml:space="preserve"> Max Torque</t>
    </r>
  </si>
  <si>
    <t>不同水量下稳定不捏爆</t>
  </si>
  <si>
    <t>监督信号质量</t>
  </si>
  <si>
    <t>等力觉输入稳定后再做</t>
  </si>
  <si>
    <t>Phase 4</t>
  </si>
  <si>
    <t>Light Temporal Modeling</t>
  </si>
  <si>
    <t>补充处理液体晃动</t>
  </si>
  <si>
    <t>3-frame stacking</t>
  </si>
  <si>
    <t>自动组帧</t>
  </si>
  <si>
    <t>首层卷积输入通道改造</t>
  </si>
  <si>
    <t>快速移动时失稳下降</t>
  </si>
  <si>
    <t>显存/过拟合</t>
  </si>
  <si>
    <t>只做轻量版本，不先上大骨干</t>
  </si>
  <si>
    <t>每个架构创新 Idea 的实现价值、数据处理和标注要求</t>
  </si>
  <si>
    <t>Technical Means</t>
  </si>
  <si>
    <t>Specific Pain Points</t>
  </si>
  <si>
    <t>Need Raw Data Processing?</t>
  </si>
  <si>
    <t>Raw Data Processing Requirement</t>
  </si>
  <si>
    <t>Need Dataset Annotation?</t>
  </si>
  <si>
    <t>Annotation Type</t>
  </si>
  <si>
    <t>Need Capture Script Change?</t>
  </si>
  <si>
    <t>Architecture / Training Change</t>
  </si>
  <si>
    <t>16GB Hardware Feasibility</t>
  </si>
  <si>
    <t>Expected Value Score</t>
  </si>
  <si>
    <t>Feasibility Score</t>
  </si>
  <si>
    <t>Implementation Priority</t>
  </si>
  <si>
    <t>Main Risk</t>
  </si>
  <si>
    <t>Mask-Guided Perception（SAM / SAM 2 掩膜引导）</t>
  </si>
  <si>
    <t>离线用 SAM 2 对 front_rgb、wrist_rgb 中的杯体/水面生成二值 Mask；训练时 RGB × Mask 去背景</t>
  </si>
  <si>
    <t>透明塑料杯视觉特征弱、背景折射干扰、杯壁边缘难以稳定识别</t>
  </si>
  <si>
    <t>离线生成 mask video / npy；训练前或 Dataloader 中执行 RGB × Mask；也可把 Mask 作为额外通道输入</t>
  </si>
  <si>
    <t>弱标注 / 半自动标注：每段视频首帧杯体 Point Prompt 或 Box Prompt；SAM 2 自动传播全视频 Mask；抽样人工质检</t>
  </si>
  <si>
    <t>轻量：可不改 ACT 主干；也可扩展输入通道</t>
  </si>
  <si>
    <t>高：16GB 显存友好；SAM 2 可离线运行</t>
  </si>
  <si>
    <t>第一阶段必须实现</t>
  </si>
  <si>
    <t>Mask 漂移会引入错误监督；透明边界和水面区域需要抽样质检</t>
  </si>
  <si>
    <t>Visual-Force Fusion（视觉-力感 Cross-Attention / Token 融合）</t>
  </si>
  <si>
    <t>将夹爪电流、负载或估算接触力作为 force token，与视觉特征、关节状态一起输入 Transformer</t>
  </si>
  <si>
    <t>塑料杯刚性低，容易捏爆；杯体变形或打滑仅靠视觉难以及时判断</t>
  </si>
  <si>
    <t>扩展 observation.state：qpos + gripper current/load；完成时间同步、缺失值处理、滤波和归一化</t>
  </si>
  <si>
    <t>无人工标注；力觉来自舵机 Present Current / Load 等自动传感器日志</t>
  </si>
  <si>
    <t>中等：增加 force encoder / force token，或 state MLP 后与视觉 token 融合</t>
  </si>
  <si>
    <t>较高：力觉特征轻量，显存增量小</t>
  </si>
  <si>
    <t>第二阶段高优实现</t>
  </si>
  <si>
    <t>电流噪声、通信频率和延迟会影响力觉质量；需要滤波和时间戳对齐</t>
  </si>
  <si>
    <t>Hybrid Action Head（位姿-力矩双路 Action Head）</t>
  </si>
  <si>
    <t>输出未来 k 步关节位置 + 夹爪位置 + gripper_effort_limit / max_torque</t>
  </si>
  <si>
    <t>不同水量、杯体厚度和接触位置下，固定夹爪力度无法兼顾抓稳与不捏爆</t>
  </si>
  <si>
    <t>重构 action 标签：在每个时间步加入目标力矩/最大扭矩；推理时写入舵机 Max Torque 或等效限制参数</t>
  </si>
  <si>
    <t>动作标签扩展：记录主控夹爪电流、位置偏差或人为设定目标阻抗；不是视觉框/掩膜类标注</t>
  </si>
  <si>
    <t>较高：action_dim 增加；loss 加入 effort L1 loss；部署链路支持实时下发力矩限制</t>
  </si>
  <si>
    <t>中：训练增量不大，但控制闭环复杂度上升</t>
  </si>
  <si>
    <t>第三阶段，依赖可靠力觉数据</t>
  </si>
  <si>
    <t>若示教目标力矩不可靠，模型会学习噪声；力矩下发过慢可能来不及保护杯体</t>
  </si>
  <si>
    <t>暂不优先上大型 Video Transformer；先用 t、t-1、t-2 帧堆叠或轻量 TSM 捕捉水体晃动</t>
  </si>
  <si>
    <t>半满水杯移动时液体晃动，重心和惯性动态变化，单帧难以判断未来稳定性</t>
  </si>
  <si>
    <t>改 Data Collation：每个样本读取连续历史帧并在通道维拼接；处理 episode 边界补帧</t>
  </si>
  <si>
    <t>无人工标注；只需从已有视频序列中按时间窗口自动组装样本</t>
  </si>
  <si>
    <t>中等：Frame Stacking 需要改第一层卷积输入通道；完整 Video Transformer 暂不建议</t>
  </si>
  <si>
    <t>中低：Frame Stacking 可行；完整时空骨干对 16GB 显存性价比低</t>
  </si>
  <si>
    <t>第四阶段，可用轻量方案验证</t>
  </si>
  <si>
    <t>帧率低或示教动作不稳定时收益有限；大型时空模型易过拟合且训练慢</t>
  </si>
  <si>
    <t>原始数据处理与数据集标注要求</t>
  </si>
  <si>
    <t>Original Data Processing?</t>
  </si>
  <si>
    <t>Processing Object</t>
  </si>
  <si>
    <t>Processing Method</t>
  </si>
  <si>
    <t>Manual Workload</t>
  </si>
  <si>
    <t>Quality Check</t>
  </si>
  <si>
    <t>front_rgb / wrist_rgb 视频帧</t>
  </si>
  <si>
    <t>SAM 2 离线生成 Mask；RGB × Mask 或增加 mask channel；保存为 mask video / npy / parquet 扩展字段</t>
  </si>
  <si>
    <t>首帧 Point/Box Prompt + 自动视频传播 Mask</t>
  </si>
  <si>
    <t>低到中：每段 episode 首帧提示 + 少量失败帧修正</t>
  </si>
  <si>
    <t>抽样检查杯体边界、水面区域、遮挡时 mask 漂移</t>
  </si>
  <si>
    <t>observation.state / effort / load</t>
  </si>
  <si>
    <t>采集夹爪 Present Current / Load；与图像、qpos 对齐；低通滤波；归一化到 -1~1 或 z-score</t>
  </si>
  <si>
    <t>无人工标注；自动传感器记录</t>
  </si>
  <si>
    <t>低：主要是采集脚本和清洗规则</t>
  </si>
  <si>
    <t>检查时间戳同步、电流饱和、异常尖峰、接触前基线</t>
  </si>
  <si>
    <t>action labels</t>
  </si>
  <si>
    <t>action_dim 从关节位置扩展为 joint position + gripper position + gripper_effort_limit</t>
  </si>
  <si>
    <t>动作标签扩展；来自主控夹爪电流、位置偏差或人为示教阻抗，不是视觉框/掩膜类标注</t>
  </si>
  <si>
    <t>中到高：需要重新录制或补齐力矩目标信号</t>
  </si>
  <si>
    <t>检查目标力矩是否与抓取阶段一致，避免把噪声当作监督</t>
  </si>
  <si>
    <t>video sequence / Dataloader sample</t>
  </si>
  <si>
    <t>每个样本自动读取 t, t-1, t-2；通道维拼接或短序列 token；episode 开头补帧</t>
  </si>
  <si>
    <t>无人工标注；自动时序窗口组装</t>
  </si>
  <si>
    <t>低：主要是 Dataloader 改造</t>
  </si>
  <si>
    <t>检查帧率、窗口长度、episode 边界、图像与动作时间对齐</t>
  </si>
  <si>
    <t>评分规则与排序依据</t>
  </si>
  <si>
    <t>Dimension</t>
  </si>
  <si>
    <t>Weight</t>
  </si>
  <si>
    <t>Meaning</t>
  </si>
  <si>
    <t>对透明半满塑料杯抓取成功率、安全性、稳定性的提升幅度</t>
  </si>
  <si>
    <t>在 SO101 与 16GB 显存条件下的训练/部署可行性</t>
  </si>
  <si>
    <t>分数越高表示新增采集、清洗、标注成本越低</t>
  </si>
  <si>
    <t>Low Implementation Difficulty</t>
  </si>
  <si>
    <t>分数越高表示代码改动、控制链路改动和调参难度越低</t>
  </si>
  <si>
    <t>Value</t>
  </si>
  <si>
    <t>Feasibility</t>
  </si>
  <si>
    <t>Low Difficulty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</si>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</sst>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i/>
      <sz val="11"/>
      <color rgb="FF404040"/>
      <name val="Carlito"/>
      <charset val="134"/>
    </font>
    <font>
      <sz val="11"/>
      <color theme="0" tint="-0.35"/>
      <name val="Carlito"/>
      <charset val="134"/>
    </font>
    <font>
      <sz val="11"/>
      <color theme="0" tint="-0.35"/>
      <name val="宋体"/>
      <charset val="134"/>
    </font>
    <font>
      <b/>
      <sz val="11"/>
      <color rgb="FF17365D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9" fontId="0" fillId="0" borderId="0" xfId="49" applyNumberFormat="1" applyFont="1" applyFill="1" applyBorder="1" applyAlignment="1">
      <alignment wrapText="1"/>
    </xf>
    <xf numFmtId="2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vertical="top" wrapText="1"/>
    </xf>
    <xf numFmtId="2" fontId="0" fillId="0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4" fillId="5" borderId="0" xfId="49" applyNumberFormat="1" applyFont="1" applyFill="1" applyBorder="1" applyAlignment="1">
      <alignment vertical="top" wrapText="1"/>
    </xf>
    <xf numFmtId="0" fontId="5" fillId="5" borderId="0" xfId="49" applyNumberFormat="1" applyFont="1" applyFill="1" applyBorder="1" applyAlignment="1">
      <alignment vertical="top" wrapText="1"/>
    </xf>
    <xf numFmtId="2" fontId="4" fillId="5" borderId="0" xfId="49" applyNumberFormat="1" applyFont="1" applyFill="1" applyBorder="1" applyAlignment="1">
      <alignment vertical="top" wrapText="1"/>
    </xf>
    <xf numFmtId="0" fontId="6" fillId="6" borderId="0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iorityTable" displayName="PriorityTable" ref="A4:J8">
  <tableColumns count="10">
    <tableColumn id="1" name="Priority"/>
    <tableColumn id="2" name="Layer"/>
    <tableColumn id="3" name="Architecture Idea"/>
    <tableColumn id="4" name="Expected Value"/>
    <tableColumn id="5" name="16GB Feasibility"/>
    <tableColumn id="6" name="Low Data Cost"/>
    <tableColumn id="7" name="Low Impl. Difficulty"/>
    <tableColumn id="8" name="Weighted Score"/>
    <tableColumn id="9" name="Raw Data Processing?"/>
    <tableColumn id="10" name="Dataset Annotation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admapTable" displayName="RoadmapTable" ref="A12:J16">
  <tableColumns count="10">
    <tableColumn id="1" name="Stage"/>
    <tableColumn id="2" name="Idea"/>
    <tableColumn id="3" name="Why"/>
    <tableColumn id="4" name="Minimum Viable Implementation"/>
    <tableColumn id="5" name="Data Impact"/>
    <tableColumn id="6" name="Model Impact"/>
    <tableColumn id="7" name="Deployment Impact"/>
    <tableColumn id="8" name="Go/No-Go Metric"/>
    <tableColumn id="9" name="Risk"/>
    <tableColumn id="10" name="Next Ste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rchitectureIdeasTable" displayName="ArchitectureIdeasTable" ref="A3:P7">
  <tableColumns count="16">
    <tableColumn id="1" name="Priority"/>
    <tableColumn id="2" name="Layer"/>
    <tableColumn id="3" name="Idea"/>
    <tableColumn id="4" name="Technical Means"/>
    <tableColumn id="5" name="Specific Pain Points"/>
    <tableColumn id="6" name="Need Raw Data Processing?"/>
    <tableColumn id="7" name="Raw Data Processing Requirement"/>
    <tableColumn id="8" name="Need Dataset Annotation?"/>
    <tableColumn id="9" name="Annotation Type"/>
    <tableColumn id="10" name="Need Capture Script Change?"/>
    <tableColumn id="11" name="Architecture / Training Change"/>
    <tableColumn id="12" name="16GB Hardware Feasibility"/>
    <tableColumn id="13" name="Expected Value Score"/>
    <tableColumn id="14" name="Feasibility Score"/>
    <tableColumn id="15" name="Implementation Priority"/>
    <tableColumn id="16" name="Main Ri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RequirementsTable" displayName="DataRequirementsTable" ref="A3:H7">
  <tableColumns count="8">
    <tableColumn id="1" name="Idea"/>
    <tableColumn id="2" name="Original Data Processing?"/>
    <tableColumn id="3" name="Processing Object"/>
    <tableColumn id="4" name="Processing Method"/>
    <tableColumn id="5" name="Dataset Annotation?"/>
    <tableColumn id="6" name="Annotation Type"/>
    <tableColumn id="7" name="Manual Workload"/>
    <tableColumn id="8" name="Quality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oringTable" displayName="ScoringTable" ref="A10:I14">
  <tableColumns count="9">
    <tableColumn id="1" name="Priority"/>
    <tableColumn id="2" name="Layer"/>
    <tableColumn id="3" name="Idea"/>
    <tableColumn id="4" name="Value"/>
    <tableColumn id="5" name="Feasibility"/>
    <tableColumn id="6" name="Low Data Cost"/>
    <tableColumn id="7" name="Low Difficulty"/>
    <tableColumn id="8" name="Weighted Score"/>
    <tableColumn id="9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topLeftCell="A2" workbookViewId="0">
      <selection activeCell="C5" sqref="C5"/>
    </sheetView>
  </sheetViews>
  <sheetFormatPr defaultColWidth="9" defaultRowHeight="14"/>
  <cols>
    <col min="1" max="1" width="9" customWidth="1"/>
    <col min="2" max="2" width="12" customWidth="1"/>
    <col min="3" max="3" width="38" customWidth="1"/>
    <col min="4" max="8" width="14" customWidth="1"/>
    <col min="9" max="10" width="18" customWidth="1"/>
  </cols>
  <sheetData>
    <row r="1" ht="28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4" ht="28" spans="1:1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ht="50" customHeight="1" spans="1:10">
      <c r="A5" s="6">
        <v>1</v>
      </c>
      <c r="B5" s="6" t="s">
        <v>12</v>
      </c>
      <c r="C5" s="6" t="s">
        <v>13</v>
      </c>
      <c r="D5" s="7">
        <v>5</v>
      </c>
      <c r="E5" s="7">
        <v>5</v>
      </c>
      <c r="F5" s="7">
        <v>4</v>
      </c>
      <c r="G5" s="7">
        <v>4</v>
      </c>
      <c r="H5" s="7">
        <f>D5*0.4+E5*0.25+F5*0.2+G5*0.15</f>
        <v>4.65</v>
      </c>
      <c r="I5" s="6" t="s">
        <v>14</v>
      </c>
      <c r="J5" s="6" t="s">
        <v>15</v>
      </c>
    </row>
    <row r="6" ht="50" customHeight="1" spans="1:10">
      <c r="A6" s="6">
        <v>2</v>
      </c>
      <c r="B6" s="6" t="s">
        <v>16</v>
      </c>
      <c r="C6" s="6" t="s">
        <v>17</v>
      </c>
      <c r="D6" s="7">
        <v>5</v>
      </c>
      <c r="E6" s="7">
        <v>4</v>
      </c>
      <c r="F6" s="7">
        <v>5</v>
      </c>
      <c r="G6" s="7">
        <v>3</v>
      </c>
      <c r="H6" s="7">
        <f>D6*0.4+E6*0.25+F6*0.2+G6*0.15</f>
        <v>4.45</v>
      </c>
      <c r="I6" s="6" t="s">
        <v>14</v>
      </c>
      <c r="J6" s="6" t="s">
        <v>18</v>
      </c>
    </row>
    <row r="7" ht="50" customHeight="1" spans="1:10">
      <c r="A7" s="9">
        <v>3</v>
      </c>
      <c r="B7" s="10" t="s">
        <v>19</v>
      </c>
      <c r="C7" s="9" t="s">
        <v>20</v>
      </c>
      <c r="D7" s="11">
        <v>4</v>
      </c>
      <c r="E7" s="11">
        <v>3</v>
      </c>
      <c r="F7" s="11">
        <v>2</v>
      </c>
      <c r="G7" s="11">
        <v>2</v>
      </c>
      <c r="H7" s="11">
        <f>D7*0.4+E7*0.25+F7*0.2+G7*0.15</f>
        <v>3.05</v>
      </c>
      <c r="I7" s="10" t="s">
        <v>14</v>
      </c>
      <c r="J7" s="10" t="s">
        <v>14</v>
      </c>
    </row>
    <row r="8" ht="50" customHeight="1" spans="1:10">
      <c r="A8" s="6">
        <v>4</v>
      </c>
      <c r="B8" s="6" t="s">
        <v>21</v>
      </c>
      <c r="C8" s="6" t="s">
        <v>22</v>
      </c>
      <c r="D8" s="7">
        <v>3</v>
      </c>
      <c r="E8" s="7">
        <v>3</v>
      </c>
      <c r="F8" s="7">
        <v>4</v>
      </c>
      <c r="G8" s="7">
        <v>3</v>
      </c>
      <c r="H8" s="7">
        <f>D8*0.4+E8*0.25+F8*0.2+G8*0.15</f>
        <v>3.2</v>
      </c>
      <c r="I8" s="6" t="s">
        <v>14</v>
      </c>
      <c r="J8" s="6" t="s">
        <v>18</v>
      </c>
    </row>
    <row r="11" ht="28" spans="1:10">
      <c r="A11" s="12" t="s">
        <v>23</v>
      </c>
      <c r="B11" s="12" t="s">
        <v>24</v>
      </c>
      <c r="C11" s="12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24</v>
      </c>
    </row>
    <row r="12" ht="28" spans="1:10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</row>
    <row r="13" ht="60" customHeight="1" spans="1:10">
      <c r="A13" s="6" t="s">
        <v>35</v>
      </c>
      <c r="B13" s="6" t="s">
        <v>36</v>
      </c>
      <c r="C13" s="6" t="s">
        <v>37</v>
      </c>
      <c r="D13" s="6" t="s">
        <v>38</v>
      </c>
      <c r="E13" s="13" t="s">
        <v>39</v>
      </c>
      <c r="F13" s="6" t="s">
        <v>40</v>
      </c>
      <c r="G13" s="6" t="s">
        <v>41</v>
      </c>
      <c r="H13" s="6" t="s">
        <v>42</v>
      </c>
      <c r="I13" s="6" t="s">
        <v>43</v>
      </c>
      <c r="J13" s="6" t="s">
        <v>44</v>
      </c>
    </row>
    <row r="14" ht="60" customHeight="1" spans="1:10">
      <c r="A14" s="6" t="s">
        <v>45</v>
      </c>
      <c r="B14" s="6" t="s">
        <v>46</v>
      </c>
      <c r="C14" s="6" t="s">
        <v>47</v>
      </c>
      <c r="D14" s="6" t="s">
        <v>48</v>
      </c>
      <c r="E14" s="6" t="s">
        <v>49</v>
      </c>
      <c r="F14" s="6" t="s">
        <v>50</v>
      </c>
      <c r="G14" s="6" t="s">
        <v>51</v>
      </c>
      <c r="H14" s="6" t="s">
        <v>52</v>
      </c>
      <c r="I14" s="6" t="s">
        <v>53</v>
      </c>
      <c r="J14" s="6" t="s">
        <v>54</v>
      </c>
    </row>
    <row r="15" ht="60" customHeight="1" spans="1:10">
      <c r="A15" s="9" t="s">
        <v>55</v>
      </c>
      <c r="B15" s="9" t="s">
        <v>56</v>
      </c>
      <c r="C15" s="10" t="s">
        <v>57</v>
      </c>
      <c r="D15" s="10" t="s">
        <v>58</v>
      </c>
      <c r="E15" s="10" t="s">
        <v>59</v>
      </c>
      <c r="F15" s="9" t="s">
        <v>60</v>
      </c>
      <c r="G15" s="10" t="s">
        <v>61</v>
      </c>
      <c r="H15" s="10" t="s">
        <v>62</v>
      </c>
      <c r="I15" s="10" t="s">
        <v>63</v>
      </c>
      <c r="J15" s="10" t="s">
        <v>64</v>
      </c>
    </row>
    <row r="16" ht="60" customHeight="1" spans="1:10">
      <c r="A16" s="6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6" t="s">
        <v>41</v>
      </c>
      <c r="H16" s="6" t="s">
        <v>71</v>
      </c>
      <c r="I16" s="6" t="s">
        <v>72</v>
      </c>
      <c r="J16" s="6" t="s">
        <v>73</v>
      </c>
    </row>
  </sheetData>
  <mergeCells count="2">
    <mergeCell ref="A1:J1"/>
    <mergeCell ref="A2:J2"/>
  </mergeCells>
  <conditionalFormatting sqref="H5:H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{a9173c2e-7ac0-4423-8004-610cc009e3ae}</x14:id>
        </ext>
      </extLst>
    </cfRule>
  </conditionalFormatting>
  <conditionalFormatting sqref="D5:G8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173c2e-7ac0-4423-8004-610cc009e3ae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H5:H8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1"/>
    </sheetView>
  </sheetViews>
  <sheetFormatPr defaultColWidth="9" defaultRowHeight="14" outlineLevelRow="6"/>
  <cols>
    <col min="1" max="1" width="9" customWidth="1"/>
    <col min="2" max="2" width="12" customWidth="1"/>
    <col min="3" max="3" width="34" customWidth="1"/>
    <col min="4" max="5" width="40" customWidth="1"/>
    <col min="6" max="6" width="18" customWidth="1"/>
    <col min="7" max="7" width="42" customWidth="1"/>
    <col min="8" max="8" width="18" customWidth="1"/>
    <col min="9" max="9" width="45" customWidth="1"/>
    <col min="10" max="10" width="18" customWidth="1"/>
    <col min="11" max="12" width="40" customWidth="1"/>
    <col min="13" max="14" width="13" customWidth="1"/>
    <col min="15" max="15" width="26" customWidth="1"/>
    <col min="16" max="16" width="44" customWidth="1"/>
  </cols>
  <sheetData>
    <row r="1" ht="28" customHeight="1" spans="1:16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/>
    <row r="3" ht="28" spans="1:16">
      <c r="A3" s="2" t="s">
        <v>2</v>
      </c>
      <c r="B3" s="2" t="s">
        <v>3</v>
      </c>
      <c r="C3" s="2" t="s">
        <v>26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81</v>
      </c>
      <c r="K3" s="2" t="s">
        <v>82</v>
      </c>
      <c r="L3" s="2" t="s">
        <v>83</v>
      </c>
      <c r="M3" s="2" t="s">
        <v>84</v>
      </c>
      <c r="N3" s="2" t="s">
        <v>85</v>
      </c>
      <c r="O3" s="2" t="s">
        <v>86</v>
      </c>
      <c r="P3" s="2" t="s">
        <v>87</v>
      </c>
    </row>
    <row r="4" ht="92" customHeight="1" spans="1:16">
      <c r="A4" s="6">
        <v>1</v>
      </c>
      <c r="B4" s="6" t="s">
        <v>12</v>
      </c>
      <c r="C4" s="6" t="s">
        <v>88</v>
      </c>
      <c r="D4" s="6" t="s">
        <v>89</v>
      </c>
      <c r="E4" s="6" t="s">
        <v>90</v>
      </c>
      <c r="F4" s="6" t="s">
        <v>14</v>
      </c>
      <c r="G4" s="6" t="s">
        <v>91</v>
      </c>
      <c r="H4" s="6" t="s">
        <v>15</v>
      </c>
      <c r="I4" s="6" t="s">
        <v>92</v>
      </c>
      <c r="J4" s="6" t="s">
        <v>18</v>
      </c>
      <c r="K4" s="6" t="s">
        <v>93</v>
      </c>
      <c r="L4" s="6" t="s">
        <v>94</v>
      </c>
      <c r="M4" s="7">
        <v>5</v>
      </c>
      <c r="N4" s="7">
        <v>5</v>
      </c>
      <c r="O4" s="6" t="s">
        <v>95</v>
      </c>
      <c r="P4" s="6" t="s">
        <v>96</v>
      </c>
    </row>
    <row r="5" ht="92" customHeight="1" spans="1:16">
      <c r="A5" s="6">
        <v>2</v>
      </c>
      <c r="B5" s="6" t="s">
        <v>16</v>
      </c>
      <c r="C5" s="6" t="s">
        <v>97</v>
      </c>
      <c r="D5" s="6" t="s">
        <v>98</v>
      </c>
      <c r="E5" s="6" t="s">
        <v>99</v>
      </c>
      <c r="F5" s="6" t="s">
        <v>14</v>
      </c>
      <c r="G5" s="6" t="s">
        <v>100</v>
      </c>
      <c r="H5" s="6" t="s">
        <v>18</v>
      </c>
      <c r="I5" s="6" t="s">
        <v>101</v>
      </c>
      <c r="J5" s="6" t="s">
        <v>14</v>
      </c>
      <c r="K5" s="6" t="s">
        <v>102</v>
      </c>
      <c r="L5" s="6" t="s">
        <v>103</v>
      </c>
      <c r="M5" s="7">
        <v>5</v>
      </c>
      <c r="N5" s="7">
        <v>4</v>
      </c>
      <c r="O5" s="6" t="s">
        <v>104</v>
      </c>
      <c r="P5" s="6" t="s">
        <v>105</v>
      </c>
    </row>
    <row r="6" ht="92" customHeight="1" spans="1:16">
      <c r="A6" s="6">
        <v>3</v>
      </c>
      <c r="B6" s="6" t="s">
        <v>19</v>
      </c>
      <c r="C6" s="6" t="s">
        <v>106</v>
      </c>
      <c r="D6" s="6" t="s">
        <v>107</v>
      </c>
      <c r="E6" s="6" t="s">
        <v>108</v>
      </c>
      <c r="F6" s="6" t="s">
        <v>14</v>
      </c>
      <c r="G6" s="6" t="s">
        <v>109</v>
      </c>
      <c r="H6" s="6" t="s">
        <v>14</v>
      </c>
      <c r="I6" s="6" t="s">
        <v>110</v>
      </c>
      <c r="J6" s="6" t="s">
        <v>14</v>
      </c>
      <c r="K6" s="6" t="s">
        <v>111</v>
      </c>
      <c r="L6" s="6" t="s">
        <v>112</v>
      </c>
      <c r="M6" s="7">
        <v>4</v>
      </c>
      <c r="N6" s="7">
        <v>3</v>
      </c>
      <c r="O6" s="6" t="s">
        <v>113</v>
      </c>
      <c r="P6" s="6" t="s">
        <v>114</v>
      </c>
    </row>
    <row r="7" ht="92" customHeight="1" spans="1:16">
      <c r="A7" s="6">
        <v>4</v>
      </c>
      <c r="B7" s="6" t="s">
        <v>21</v>
      </c>
      <c r="C7" s="6" t="s">
        <v>22</v>
      </c>
      <c r="D7" s="6" t="s">
        <v>115</v>
      </c>
      <c r="E7" s="6" t="s">
        <v>116</v>
      </c>
      <c r="F7" s="6" t="s">
        <v>14</v>
      </c>
      <c r="G7" s="6" t="s">
        <v>117</v>
      </c>
      <c r="H7" s="6" t="s">
        <v>18</v>
      </c>
      <c r="I7" s="6" t="s">
        <v>118</v>
      </c>
      <c r="J7" s="6" t="s">
        <v>18</v>
      </c>
      <c r="K7" s="6" t="s">
        <v>119</v>
      </c>
      <c r="L7" s="6" t="s">
        <v>120</v>
      </c>
      <c r="M7" s="7">
        <v>3</v>
      </c>
      <c r="N7" s="7">
        <v>3</v>
      </c>
      <c r="O7" s="6" t="s">
        <v>121</v>
      </c>
      <c r="P7" s="6" t="s">
        <v>122</v>
      </c>
    </row>
  </sheetData>
  <mergeCells count="1">
    <mergeCell ref="A1:P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:H1"/>
    </sheetView>
  </sheetViews>
  <sheetFormatPr defaultColWidth="9" defaultRowHeight="14" outlineLevelRow="6" outlineLevelCol="7"/>
  <cols>
    <col min="1" max="1" width="38" customWidth="1"/>
    <col min="2" max="2" width="18" customWidth="1"/>
    <col min="3" max="3" width="24" customWidth="1"/>
    <col min="4" max="4" width="46" customWidth="1"/>
    <col min="5" max="5" width="18" customWidth="1"/>
    <col min="6" max="6" width="44" customWidth="1"/>
    <col min="7" max="8" width="34" customWidth="1"/>
  </cols>
  <sheetData>
    <row r="1" ht="28" customHeight="1" spans="1:8">
      <c r="A1" s="1" t="s">
        <v>123</v>
      </c>
      <c r="B1" s="1"/>
      <c r="C1" s="1"/>
      <c r="D1" s="1"/>
      <c r="E1" s="1"/>
      <c r="F1" s="1"/>
      <c r="G1" s="1"/>
      <c r="H1" s="1"/>
    </row>
    <row r="2" ht="24" customHeight="1"/>
    <row r="3" ht="28" spans="1:8">
      <c r="A3" s="2" t="s">
        <v>26</v>
      </c>
      <c r="B3" s="2" t="s">
        <v>124</v>
      </c>
      <c r="C3" s="2" t="s">
        <v>125</v>
      </c>
      <c r="D3" s="2" t="s">
        <v>126</v>
      </c>
      <c r="E3" s="2" t="s">
        <v>11</v>
      </c>
      <c r="F3" s="2" t="s">
        <v>80</v>
      </c>
      <c r="G3" s="2" t="s">
        <v>127</v>
      </c>
      <c r="H3" s="2" t="s">
        <v>128</v>
      </c>
    </row>
    <row r="4" ht="86" customHeight="1" spans="1:8">
      <c r="A4" s="6" t="s">
        <v>88</v>
      </c>
      <c r="B4" s="6" t="s">
        <v>14</v>
      </c>
      <c r="C4" s="6" t="s">
        <v>129</v>
      </c>
      <c r="D4" s="6" t="s">
        <v>130</v>
      </c>
      <c r="E4" s="6" t="s">
        <v>14</v>
      </c>
      <c r="F4" s="6" t="s">
        <v>131</v>
      </c>
      <c r="G4" s="6" t="s">
        <v>132</v>
      </c>
      <c r="H4" s="6" t="s">
        <v>133</v>
      </c>
    </row>
    <row r="5" ht="86" customHeight="1" spans="1:8">
      <c r="A5" s="6" t="s">
        <v>97</v>
      </c>
      <c r="B5" s="6" t="s">
        <v>14</v>
      </c>
      <c r="C5" s="6" t="s">
        <v>134</v>
      </c>
      <c r="D5" s="6" t="s">
        <v>135</v>
      </c>
      <c r="E5" s="6" t="s">
        <v>18</v>
      </c>
      <c r="F5" s="6" t="s">
        <v>136</v>
      </c>
      <c r="G5" s="6" t="s">
        <v>137</v>
      </c>
      <c r="H5" s="6" t="s">
        <v>138</v>
      </c>
    </row>
    <row r="6" ht="86" customHeight="1" spans="1:8">
      <c r="A6" s="6" t="s">
        <v>106</v>
      </c>
      <c r="B6" s="6" t="s">
        <v>14</v>
      </c>
      <c r="C6" s="6" t="s">
        <v>139</v>
      </c>
      <c r="D6" s="6" t="s">
        <v>140</v>
      </c>
      <c r="E6" s="6" t="s">
        <v>14</v>
      </c>
      <c r="F6" s="6" t="s">
        <v>141</v>
      </c>
      <c r="G6" s="6" t="s">
        <v>142</v>
      </c>
      <c r="H6" s="6" t="s">
        <v>143</v>
      </c>
    </row>
    <row r="7" ht="86" customHeight="1" spans="1:8">
      <c r="A7" s="6" t="s">
        <v>22</v>
      </c>
      <c r="B7" s="6" t="s">
        <v>14</v>
      </c>
      <c r="C7" s="6" t="s">
        <v>144</v>
      </c>
      <c r="D7" s="6" t="s">
        <v>145</v>
      </c>
      <c r="E7" s="6" t="s">
        <v>18</v>
      </c>
      <c r="F7" s="6" t="s">
        <v>146</v>
      </c>
      <c r="G7" s="6" t="s">
        <v>147</v>
      </c>
      <c r="H7" s="6" t="s">
        <v>148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:I1"/>
    </sheetView>
  </sheetViews>
  <sheetFormatPr defaultColWidth="9" defaultRowHeight="14"/>
  <cols>
    <col min="1" max="1" width="13" customWidth="1"/>
    <col min="2" max="2" width="12" customWidth="1"/>
    <col min="3" max="3" width="40" customWidth="1"/>
    <col min="4" max="8" width="14" customWidth="1"/>
    <col min="9" max="9" width="30" customWidth="1"/>
  </cols>
  <sheetData>
    <row r="1" ht="28" customHeight="1" spans="1:9">
      <c r="A1" s="1" t="s">
        <v>149</v>
      </c>
      <c r="B1" s="1"/>
      <c r="C1" s="1"/>
      <c r="D1" s="1"/>
      <c r="E1" s="1"/>
      <c r="F1" s="1"/>
      <c r="G1" s="1"/>
      <c r="H1" s="1"/>
      <c r="I1" s="1"/>
    </row>
    <row r="2" ht="24" customHeight="1"/>
    <row r="3" spans="1:9">
      <c r="A3" s="2" t="s">
        <v>150</v>
      </c>
      <c r="B3" s="2" t="s">
        <v>151</v>
      </c>
      <c r="C3" s="2" t="s">
        <v>152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</row>
    <row r="4" ht="38" customHeight="1" spans="1:9">
      <c r="A4" s="3" t="s">
        <v>5</v>
      </c>
      <c r="B4" s="4">
        <v>0.4</v>
      </c>
      <c r="C4" s="3" t="s">
        <v>153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</row>
    <row r="5" ht="38" customHeight="1" spans="1:9">
      <c r="A5" s="3" t="s">
        <v>6</v>
      </c>
      <c r="B5" s="4">
        <v>0.25</v>
      </c>
      <c r="C5" s="3" t="s">
        <v>154</v>
      </c>
      <c r="D5" s="3" t="s">
        <v>24</v>
      </c>
      <c r="E5" s="3" t="s">
        <v>24</v>
      </c>
      <c r="F5" s="3" t="s">
        <v>24</v>
      </c>
      <c r="G5" s="3" t="s">
        <v>24</v>
      </c>
      <c r="H5" s="3" t="s">
        <v>24</v>
      </c>
      <c r="I5" s="3" t="s">
        <v>24</v>
      </c>
    </row>
    <row r="6" ht="38" customHeight="1" spans="1:9">
      <c r="A6" s="3" t="s">
        <v>7</v>
      </c>
      <c r="B6" s="4">
        <v>0.2</v>
      </c>
      <c r="C6" s="3" t="s">
        <v>155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</row>
    <row r="7" ht="38" customHeight="1" spans="1:9">
      <c r="A7" s="3" t="s">
        <v>156</v>
      </c>
      <c r="B7" s="4">
        <v>0.15</v>
      </c>
      <c r="C7" s="3" t="s">
        <v>157</v>
      </c>
      <c r="D7" s="3" t="s">
        <v>24</v>
      </c>
      <c r="E7" s="3" t="s">
        <v>24</v>
      </c>
      <c r="F7" s="3" t="s">
        <v>24</v>
      </c>
      <c r="G7" s="3" t="s">
        <v>24</v>
      </c>
      <c r="H7" s="3" t="s">
        <v>24</v>
      </c>
      <c r="I7" s="3" t="s">
        <v>24</v>
      </c>
    </row>
    <row r="10" ht="28" spans="1:9">
      <c r="A10" s="2" t="s">
        <v>2</v>
      </c>
      <c r="B10" s="2" t="s">
        <v>3</v>
      </c>
      <c r="C10" s="2" t="s">
        <v>26</v>
      </c>
      <c r="D10" s="2" t="s">
        <v>158</v>
      </c>
      <c r="E10" s="2" t="s">
        <v>159</v>
      </c>
      <c r="F10" s="2" t="s">
        <v>7</v>
      </c>
      <c r="G10" s="2" t="s">
        <v>160</v>
      </c>
      <c r="H10" s="2" t="s">
        <v>9</v>
      </c>
      <c r="I10" s="2" t="s">
        <v>161</v>
      </c>
    </row>
    <row r="11" ht="48" customHeight="1" spans="1:9">
      <c r="A11" s="3">
        <v>1</v>
      </c>
      <c r="B11" s="3" t="s">
        <v>12</v>
      </c>
      <c r="C11" s="3" t="s">
        <v>88</v>
      </c>
      <c r="D11" s="5">
        <v>5</v>
      </c>
      <c r="E11" s="5">
        <v>5</v>
      </c>
      <c r="F11" s="5">
        <v>4</v>
      </c>
      <c r="G11" s="5">
        <v>4</v>
      </c>
      <c r="H11" s="5">
        <f>D11*0.4+E11*0.25+F11*0.2+G11*0.15</f>
        <v>4.65</v>
      </c>
      <c r="I11" s="3" t="s">
        <v>95</v>
      </c>
    </row>
    <row r="12" ht="48" customHeight="1" spans="1:9">
      <c r="A12" s="3">
        <v>2</v>
      </c>
      <c r="B12" s="3" t="s">
        <v>16</v>
      </c>
      <c r="C12" s="3" t="s">
        <v>97</v>
      </c>
      <c r="D12" s="5">
        <v>5</v>
      </c>
      <c r="E12" s="5">
        <v>4</v>
      </c>
      <c r="F12" s="5">
        <v>5</v>
      </c>
      <c r="G12" s="5">
        <v>3</v>
      </c>
      <c r="H12" s="5">
        <f>D12*0.4+E12*0.25+F12*0.2+G12*0.15</f>
        <v>4.45</v>
      </c>
      <c r="I12" s="3" t="s">
        <v>104</v>
      </c>
    </row>
    <row r="13" ht="48" customHeight="1" spans="1:9">
      <c r="A13" s="3">
        <v>3</v>
      </c>
      <c r="B13" s="3" t="s">
        <v>19</v>
      </c>
      <c r="C13" s="3" t="s">
        <v>106</v>
      </c>
      <c r="D13" s="5">
        <v>4</v>
      </c>
      <c r="E13" s="5">
        <v>3</v>
      </c>
      <c r="F13" s="5">
        <v>2</v>
      </c>
      <c r="G13" s="5">
        <v>2</v>
      </c>
      <c r="H13" s="5">
        <f>D13*0.4+E13*0.25+F13*0.2+G13*0.15</f>
        <v>3.05</v>
      </c>
      <c r="I13" s="3" t="s">
        <v>113</v>
      </c>
    </row>
    <row r="14" ht="48" customHeight="1" spans="1:9">
      <c r="A14" s="3">
        <v>4</v>
      </c>
      <c r="B14" s="3" t="s">
        <v>21</v>
      </c>
      <c r="C14" s="3" t="s">
        <v>22</v>
      </c>
      <c r="D14" s="5">
        <v>3</v>
      </c>
      <c r="E14" s="5">
        <v>3</v>
      </c>
      <c r="F14" s="5">
        <v>4</v>
      </c>
      <c r="G14" s="5">
        <v>3</v>
      </c>
      <c r="H14" s="5">
        <f>D14*0.4+E14*0.25+F14*0.2+G14*0.15</f>
        <v>3.2</v>
      </c>
      <c r="I14" s="3" t="s">
        <v>121</v>
      </c>
    </row>
  </sheetData>
  <mergeCells count="1">
    <mergeCell ref="A1:I1"/>
  </mergeCells>
  <conditionalFormatting sqref="D11:H1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Priority Summary</vt:lpstr>
      <vt:lpstr>Architecture Ideas</vt:lpstr>
      <vt:lpstr>Data Requirements</vt:lpstr>
      <vt:lpstr>Scoring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Mr.Black</cp:lastModifiedBy>
  <dcterms:created xsi:type="dcterms:W3CDTF">2026-05-15T06:06:00Z</dcterms:created>
  <dcterms:modified xsi:type="dcterms:W3CDTF">2026-05-15T06:34:04Z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F76656D0D6734F748AF1E809B8826A7B_12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